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lada\Downloads\Telegram Desktop\"/>
    </mc:Choice>
  </mc:AlternateContent>
  <xr:revisionPtr revIDLastSave="0" documentId="13_ncr:1_{A246D934-9E67-4DCE-97CA-74463E969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изики" sheetId="1" r:id="rId1"/>
    <sheet name="Люд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1" l="1"/>
  <c r="F12" i="1"/>
  <c r="F4" i="1"/>
  <c r="F3" i="1"/>
  <c r="F10" i="1"/>
  <c r="F8" i="1"/>
  <c r="F15" i="1"/>
  <c r="F11" i="1"/>
  <c r="F17" i="1"/>
  <c r="F9" i="1"/>
  <c r="F5" i="1"/>
  <c r="F2" i="1"/>
  <c r="F7" i="1"/>
  <c r="F21" i="1"/>
  <c r="F14" i="1"/>
  <c r="F16" i="1"/>
  <c r="F20" i="1"/>
  <c r="F13" i="1"/>
  <c r="F6" i="1"/>
  <c r="F19" i="1"/>
</calcChain>
</file>

<file path=xl/sharedStrings.xml><?xml version="1.0" encoding="utf-8"?>
<sst xmlns="http://schemas.openxmlformats.org/spreadsheetml/2006/main" count="142" uniqueCount="113">
  <si>
    <t>#</t>
  </si>
  <si>
    <t>Умова</t>
  </si>
  <si>
    <t>Наслідки</t>
  </si>
  <si>
    <t>Ймовірність
(0-1)</t>
  </si>
  <si>
    <t>Загроза
(1-5)</t>
  </si>
  <si>
    <t>Очікуваний вплив</t>
  </si>
  <si>
    <t>Попередження</t>
  </si>
  <si>
    <t>Реагування</t>
  </si>
  <si>
    <t>Тригер</t>
  </si>
  <si>
    <t>Відповідальний</t>
  </si>
  <si>
    <t>Нестача бюджету</t>
  </si>
  <si>
    <t>Некваліфіковані співробітники</t>
  </si>
  <si>
    <t>Неадаптованість під різні пристрої</t>
  </si>
  <si>
    <t>Неоптимізований зв'язок з БД та вебзастосунком</t>
  </si>
  <si>
    <t>Відсутність резервного копіювання</t>
  </si>
  <si>
    <t>Відсутність відмовостійкості</t>
  </si>
  <si>
    <t>Проблема з безпекою через
недостатню ізоляцію
особистих даних користувача</t>
  </si>
  <si>
    <t>Недостатня оптимізація текстового редактору</t>
  </si>
  <si>
    <t>Недостатньо приділено уваги до локалізації</t>
  </si>
  <si>
    <t>Гунченко Влада</t>
  </si>
  <si>
    <t>Невчасне виконання обов'язків завдань членами команди</t>
  </si>
  <si>
    <t>Розбіжності в поглядів у команді</t>
  </si>
  <si>
    <t>Незадовільна подача вебзастосунку замовнику</t>
  </si>
  <si>
    <t>Незадовільне виконання завдань членами команди</t>
  </si>
  <si>
    <t>Недостатня комунікація у команді</t>
  </si>
  <si>
    <t>Поганий розподіл обв'язків</t>
  </si>
  <si>
    <t>Невдалий розподіл бюджету</t>
  </si>
  <si>
    <t>Москов Іван</t>
  </si>
  <si>
    <t>Бакулін Данііл</t>
  </si>
  <si>
    <t>Козлова Оксана/Барай Максим</t>
  </si>
  <si>
    <t>Єдалов Артем/Левковська Марія</t>
  </si>
  <si>
    <t>Савеля Максим/Зорій Ярослав</t>
  </si>
  <si>
    <t xml:space="preserve">Невдалий UX-дизайн </t>
  </si>
  <si>
    <t>Неякісне виконання своїх робочих обов'язків</t>
  </si>
  <si>
    <t>Втрата даних користувача</t>
  </si>
  <si>
    <t>Некоректне відображення інтерфейсу</t>
  </si>
  <si>
    <t>Втрата або нерпавильний запис даних при передачі</t>
  </si>
  <si>
    <t>Втрата файлів проєкту</t>
  </si>
  <si>
    <t>Критичний збій програми</t>
  </si>
  <si>
    <t>Витоки даних користувачів</t>
  </si>
  <si>
    <t>Випуск недопрацьованого проєкту</t>
  </si>
  <si>
    <t>Відсутнє або зламане форматування тексту, некоректна обробка тексту</t>
  </si>
  <si>
    <t>Некоректний переклад слів</t>
  </si>
  <si>
    <t>Неготовність проєкту в термін здачі</t>
  </si>
  <si>
    <t>Затримки в часі, розбіжності в загальній ідеї проєкту</t>
  </si>
  <si>
    <t>Погане враження про проєкт та команду</t>
  </si>
  <si>
    <t>Погана якість або затримка в виконанні поставлених задач</t>
  </si>
  <si>
    <t>Раптові розбіжності в загальній ідеї проєкту</t>
  </si>
  <si>
    <t>Неефективне виконання поставлених задач</t>
  </si>
  <si>
    <t>Неприємний досвід в користуванні застосунком</t>
  </si>
  <si>
    <t>Раптова нестача коштів</t>
  </si>
  <si>
    <t>Незмога оплатити працю співробітників, ліцензій тощо</t>
  </si>
  <si>
    <t>Якісне планування розподілу коштів</t>
  </si>
  <si>
    <t>Максимальне зменшення витрат, урізання заробітнтіх плат</t>
  </si>
  <si>
    <t>Помітна невідповідність наявних коштів до запланованих витрат</t>
  </si>
  <si>
    <t>Надання документації, курсів, інших матеріалів для вивчення та навчання</t>
  </si>
  <si>
    <t>Інтенсивне навчання</t>
  </si>
  <si>
    <t>Помітні затримки в роботі, неякісне виконання робочих обов'язків</t>
  </si>
  <si>
    <t>Створення резервних копій</t>
  </si>
  <si>
    <t>Спробувати методи відновлення даних за можливості</t>
  </si>
  <si>
    <t>Необачна поведінка з усім, що має доступ до бази даних</t>
  </si>
  <si>
    <t>Приділення уваги до розробки дизайну під різні пристрої</t>
  </si>
  <si>
    <t>Розробка або адаптація дизайну під різні пристрої</t>
  </si>
  <si>
    <t>Нестача коштів на важливому етапі розробки або їх надлишок на попередніх етапах чи гілках розподілу</t>
  </si>
  <si>
    <t>Реогранізація розподілу коштів</t>
  </si>
  <si>
    <t>Приділення уваги до детального аналізу витрат на кожному етапі розробки</t>
  </si>
  <si>
    <t>Приділення уваги розробці та аналізу зручності UX-дизайну</t>
  </si>
  <si>
    <t>Проведення редизайну</t>
  </si>
  <si>
    <t>Помітний неприємний досвід в користуванні застосунком</t>
  </si>
  <si>
    <t>Реогранізація персоналу</t>
  </si>
  <si>
    <t>Аналіз можливостей працівників відповідно до поставленої задачі</t>
  </si>
  <si>
    <t>Незмога працівників виконувати надані обов'язки</t>
  </si>
  <si>
    <t>Проведення обговорювань та зборів</t>
  </si>
  <si>
    <t>Погане розуміння поточного етапу розробки</t>
  </si>
  <si>
    <t>Організація поставлених термінів виконання задачі для кожного етапу, впровадження звітування готовності</t>
  </si>
  <si>
    <t>Затримка або неякісне виконання поставлених задач</t>
  </si>
  <si>
    <t>Підготовка презентації готового продукту</t>
  </si>
  <si>
    <t>Надання додаткових комерційних описів продукту, за потреби лист з вибаченнями</t>
  </si>
  <si>
    <t>Негативна реакція на презентацію вебзастосунку</t>
  </si>
  <si>
    <t>Обговорення подальшого розвитку та розробки на зустрічах</t>
  </si>
  <si>
    <t>Розбіжності в загальній ідеї проєкту</t>
  </si>
  <si>
    <t>Впровадження регулярного звітування про готовність та зміни</t>
  </si>
  <si>
    <t>Помітне відставання від плану розробки в часі</t>
  </si>
  <si>
    <t>Помітні помилки в перекладі слів</t>
  </si>
  <si>
    <t>Повторна перевірка коректності перекладених слів</t>
  </si>
  <si>
    <t>Приділення уваги перевірці коректного перекладу слів</t>
  </si>
  <si>
    <t>Перевірка оптимізації архітектури текстового редактору</t>
  </si>
  <si>
    <t>Повторний перегляд та оптимізація архітектури текстового редактору</t>
  </si>
  <si>
    <t>Постійні збої, помилки в роботі під час обробки тексту в редакторі</t>
  </si>
  <si>
    <t>Ретельне тестування кожного з елементів вебзастосунку та їх взаємозв'язків</t>
  </si>
  <si>
    <t>Невідкладний випуск нової версії вебзастосунку після повторного ретельного тестування</t>
  </si>
  <si>
    <t>Збої в роботі під час користування вебзастосунком після передачі його замовнику</t>
  </si>
  <si>
    <t>Недостатнє тестування
проєкту перед передачею його замовнику</t>
  </si>
  <si>
    <t>Приділення більшої уваги структурі передачі та зберігання особистих даних у вебзастосунку</t>
  </si>
  <si>
    <t>Ретельне тестування передачі ізольованих особистих даних</t>
  </si>
  <si>
    <t>Виконання комплексного тестування вебзастосунку</t>
  </si>
  <si>
    <t>Проведення комплексного тестування та звітування про некоректну роботу</t>
  </si>
  <si>
    <t>Критичні збої</t>
  </si>
  <si>
    <t>Витоки даних під час передачі особистих даних</t>
  </si>
  <si>
    <t>Регулярні резервні копії під час розробки, збереження їх в хмарних середовищах</t>
  </si>
  <si>
    <t>Спробувати методи відновлення даних</t>
  </si>
  <si>
    <t>Необачна міграція та зберігання даних проєкту</t>
  </si>
  <si>
    <t>Приділення уваги до розробки відмовостійкої архітектури приймання, надсилання та обробки даних між вебзастосунком та БД</t>
  </si>
  <si>
    <t>Розробка відмовостійкої архітектури приймання, надсилання та обробки даних між вебзастосунком та БД</t>
  </si>
  <si>
    <t>Втрата або нерпавильний запис даних при передачі під час тестування</t>
  </si>
  <si>
    <t>Менеджер програми</t>
  </si>
  <si>
    <t>Менеджери продукту</t>
  </si>
  <si>
    <t>Розробники</t>
  </si>
  <si>
    <t>Тестувальники</t>
  </si>
  <si>
    <t>UX-спеціаліст</t>
  </si>
  <si>
    <t>Спеціаліст з розгортання</t>
  </si>
  <si>
    <t>Втрата даних користувача через очищення браузера</t>
  </si>
  <si>
    <t>Пошкодження або некоректне збереження даних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</si>
</sst>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i/>
      <sz val="12"/>
      <color rgb="FF000000"/>
      <name val="Arial"/>
      <family val="2"/>
      <scheme val="minor"/>
    </font>
    <font>
      <sz val="10"/>
      <color rgb="FF000000"/>
      <name val="Arial"/>
      <family val="2"/>
      <charset val="204"/>
      <scheme val="minor"/>
    </font>
    <font>
      <sz val="10"/>
      <color theme="3"/>
      <name val="Segoe UI"/>
      <family val="2"/>
      <charset val="204"/>
    </font>
    <font>
      <sz val="10"/>
      <color theme="1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/>
    <xf numFmtId="0" fontId="3" fillId="5" borderId="1" xfId="0" applyFont="1" applyFill="1" applyBorder="1"/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6"/>
  <sheetViews>
    <sheetView tabSelected="1" zoomScale="85" zoomScaleNormal="85" workbookViewId="0">
      <selection activeCell="G27" sqref="G27"/>
    </sheetView>
  </sheetViews>
  <sheetFormatPr defaultColWidth="12.5546875" defaultRowHeight="15.75" customHeight="1" x14ac:dyDescent="0.25"/>
  <cols>
    <col min="1" max="1" width="7.44140625" customWidth="1"/>
    <col min="2" max="2" width="34.109375" customWidth="1"/>
    <col min="3" max="3" width="30.109375" customWidth="1"/>
    <col min="4" max="4" width="11.5546875" customWidth="1"/>
    <col min="5" max="5" width="11.44140625" customWidth="1"/>
    <col min="6" max="6" width="13.44140625" customWidth="1"/>
    <col min="7" max="7" width="35.88671875" customWidth="1"/>
    <col min="8" max="8" width="27" customWidth="1"/>
    <col min="9" max="9" width="23.6640625" customWidth="1"/>
    <col min="10" max="10" width="24" customWidth="1"/>
  </cols>
  <sheetData>
    <row r="1" spans="1:10" ht="4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52.8" x14ac:dyDescent="0.25">
      <c r="A2" s="7">
        <v>9</v>
      </c>
      <c r="B2" s="8" t="s">
        <v>16</v>
      </c>
      <c r="C2" s="8" t="s">
        <v>39</v>
      </c>
      <c r="D2" s="9">
        <v>0.7</v>
      </c>
      <c r="E2" s="9">
        <v>5</v>
      </c>
      <c r="F2" s="9">
        <f t="shared" ref="F2:F21" si="0">D2*E2</f>
        <v>3.5</v>
      </c>
      <c r="G2" s="8" t="s">
        <v>94</v>
      </c>
      <c r="H2" s="8" t="s">
        <v>93</v>
      </c>
      <c r="I2" s="8" t="s">
        <v>98</v>
      </c>
      <c r="J2" s="19" t="s">
        <v>107</v>
      </c>
    </row>
    <row r="3" spans="1:10" ht="26.4" x14ac:dyDescent="0.25">
      <c r="A3" s="7">
        <v>17</v>
      </c>
      <c r="B3" s="8" t="s">
        <v>24</v>
      </c>
      <c r="C3" s="8" t="s">
        <v>47</v>
      </c>
      <c r="D3" s="9">
        <v>0.7</v>
      </c>
      <c r="E3" s="9">
        <v>4</v>
      </c>
      <c r="F3" s="9">
        <f t="shared" si="0"/>
        <v>2.8</v>
      </c>
      <c r="G3" s="8" t="s">
        <v>72</v>
      </c>
      <c r="H3" s="8" t="s">
        <v>72</v>
      </c>
      <c r="I3" s="8" t="s">
        <v>73</v>
      </c>
      <c r="J3" s="19" t="s">
        <v>105</v>
      </c>
    </row>
    <row r="4" spans="1:10" ht="39.6" x14ac:dyDescent="0.25">
      <c r="A4" s="7">
        <v>18</v>
      </c>
      <c r="B4" s="8" t="s">
        <v>25</v>
      </c>
      <c r="C4" s="8" t="s">
        <v>48</v>
      </c>
      <c r="D4" s="9">
        <v>0.6</v>
      </c>
      <c r="E4" s="9">
        <v>4</v>
      </c>
      <c r="F4" s="9">
        <f t="shared" si="0"/>
        <v>2.4</v>
      </c>
      <c r="G4" s="8" t="s">
        <v>70</v>
      </c>
      <c r="H4" s="8" t="s">
        <v>69</v>
      </c>
      <c r="I4" s="8" t="s">
        <v>71</v>
      </c>
      <c r="J4" s="8" t="s">
        <v>105</v>
      </c>
    </row>
    <row r="5" spans="1:10" ht="52.8" x14ac:dyDescent="0.25">
      <c r="A5" s="7">
        <v>10</v>
      </c>
      <c r="B5" s="8" t="s">
        <v>92</v>
      </c>
      <c r="C5" s="8" t="s">
        <v>40</v>
      </c>
      <c r="D5" s="9">
        <v>0.6</v>
      </c>
      <c r="E5" s="9">
        <v>3.5</v>
      </c>
      <c r="F5" s="9">
        <f t="shared" si="0"/>
        <v>2.1</v>
      </c>
      <c r="G5" s="8" t="s">
        <v>89</v>
      </c>
      <c r="H5" s="8" t="s">
        <v>90</v>
      </c>
      <c r="I5" s="8" t="s">
        <v>91</v>
      </c>
      <c r="J5" s="19" t="s">
        <v>108</v>
      </c>
    </row>
    <row r="6" spans="1:10" ht="52.8" x14ac:dyDescent="0.25">
      <c r="A6" s="7">
        <v>2</v>
      </c>
      <c r="B6" s="8" t="s">
        <v>11</v>
      </c>
      <c r="C6" s="8" t="s">
        <v>33</v>
      </c>
      <c r="D6" s="9">
        <v>0.4</v>
      </c>
      <c r="E6" s="9">
        <v>5</v>
      </c>
      <c r="F6" s="9">
        <f t="shared" si="0"/>
        <v>2</v>
      </c>
      <c r="G6" s="8" t="s">
        <v>55</v>
      </c>
      <c r="H6" s="8" t="s">
        <v>56</v>
      </c>
      <c r="I6" s="8" t="s">
        <v>57</v>
      </c>
      <c r="J6" s="19" t="s">
        <v>105</v>
      </c>
    </row>
    <row r="7" spans="1:10" ht="39.6" x14ac:dyDescent="0.25">
      <c r="A7" s="3">
        <v>8</v>
      </c>
      <c r="B7" s="4" t="s">
        <v>15</v>
      </c>
      <c r="C7" s="4" t="s">
        <v>38</v>
      </c>
      <c r="D7" s="5">
        <v>0.4</v>
      </c>
      <c r="E7" s="5">
        <v>4</v>
      </c>
      <c r="F7" s="5">
        <f t="shared" si="0"/>
        <v>1.6</v>
      </c>
      <c r="G7" s="4" t="s">
        <v>95</v>
      </c>
      <c r="H7" s="4" t="s">
        <v>96</v>
      </c>
      <c r="I7" s="4" t="s">
        <v>97</v>
      </c>
      <c r="J7" s="20" t="s">
        <v>108</v>
      </c>
    </row>
    <row r="8" spans="1:10" ht="52.8" x14ac:dyDescent="0.25">
      <c r="A8" s="3">
        <v>15</v>
      </c>
      <c r="B8" s="4" t="s">
        <v>22</v>
      </c>
      <c r="C8" s="4" t="s">
        <v>45</v>
      </c>
      <c r="D8" s="5">
        <v>0.4</v>
      </c>
      <c r="E8" s="5">
        <v>4</v>
      </c>
      <c r="F8" s="5">
        <f t="shared" si="0"/>
        <v>1.6</v>
      </c>
      <c r="G8" s="4" t="s">
        <v>76</v>
      </c>
      <c r="H8" s="4" t="s">
        <v>77</v>
      </c>
      <c r="I8" s="4" t="s">
        <v>78</v>
      </c>
      <c r="J8" s="20" t="s">
        <v>106</v>
      </c>
    </row>
    <row r="9" spans="1:10" ht="52.8" x14ac:dyDescent="0.25">
      <c r="A9" s="3">
        <v>11</v>
      </c>
      <c r="B9" s="4" t="s">
        <v>17</v>
      </c>
      <c r="C9" s="4" t="s">
        <v>41</v>
      </c>
      <c r="D9" s="5">
        <v>0.5</v>
      </c>
      <c r="E9" s="5">
        <v>3</v>
      </c>
      <c r="F9" s="5">
        <f t="shared" si="0"/>
        <v>1.5</v>
      </c>
      <c r="G9" s="4" t="s">
        <v>86</v>
      </c>
      <c r="H9" s="4" t="s">
        <v>87</v>
      </c>
      <c r="I9" s="4" t="s">
        <v>88</v>
      </c>
      <c r="J9" s="20" t="s">
        <v>107</v>
      </c>
    </row>
    <row r="10" spans="1:10" ht="66" x14ac:dyDescent="0.25">
      <c r="A10" s="3">
        <v>16</v>
      </c>
      <c r="B10" s="4" t="s">
        <v>23</v>
      </c>
      <c r="C10" s="4" t="s">
        <v>46</v>
      </c>
      <c r="D10" s="5">
        <v>0.3</v>
      </c>
      <c r="E10" s="5">
        <v>5</v>
      </c>
      <c r="F10" s="5">
        <f t="shared" si="0"/>
        <v>1.5</v>
      </c>
      <c r="G10" s="4" t="s">
        <v>74</v>
      </c>
      <c r="H10" s="4" t="s">
        <v>74</v>
      </c>
      <c r="I10" s="4" t="s">
        <v>75</v>
      </c>
      <c r="J10" s="20" t="s">
        <v>105</v>
      </c>
    </row>
    <row r="11" spans="1:10" ht="39.6" x14ac:dyDescent="0.25">
      <c r="A11" s="3">
        <v>13</v>
      </c>
      <c r="B11" s="4" t="s">
        <v>20</v>
      </c>
      <c r="C11" s="4" t="s">
        <v>43</v>
      </c>
      <c r="D11" s="5">
        <v>0.4</v>
      </c>
      <c r="E11" s="5">
        <v>3</v>
      </c>
      <c r="F11" s="5">
        <f t="shared" si="0"/>
        <v>1.2000000000000002</v>
      </c>
      <c r="G11" s="4" t="s">
        <v>81</v>
      </c>
      <c r="H11" s="4" t="s">
        <v>81</v>
      </c>
      <c r="I11" s="4" t="s">
        <v>82</v>
      </c>
      <c r="J11" s="20" t="s">
        <v>106</v>
      </c>
    </row>
    <row r="12" spans="1:10" ht="39.6" x14ac:dyDescent="0.25">
      <c r="A12" s="3">
        <v>19</v>
      </c>
      <c r="B12" s="4" t="s">
        <v>32</v>
      </c>
      <c r="C12" s="4" t="s">
        <v>49</v>
      </c>
      <c r="D12" s="5">
        <v>0.3</v>
      </c>
      <c r="E12" s="5">
        <v>4</v>
      </c>
      <c r="F12" s="5">
        <f t="shared" si="0"/>
        <v>1.2</v>
      </c>
      <c r="G12" s="4" t="s">
        <v>66</v>
      </c>
      <c r="H12" s="4" t="s">
        <v>67</v>
      </c>
      <c r="I12" s="4" t="s">
        <v>68</v>
      </c>
      <c r="J12" s="20" t="s">
        <v>109</v>
      </c>
    </row>
    <row r="13" spans="1:10" ht="39.6" x14ac:dyDescent="0.25">
      <c r="A13" s="3">
        <v>3</v>
      </c>
      <c r="B13" s="20" t="s">
        <v>111</v>
      </c>
      <c r="C13" s="4" t="s">
        <v>34</v>
      </c>
      <c r="D13" s="5">
        <v>0.2</v>
      </c>
      <c r="E13" s="5">
        <v>5</v>
      </c>
      <c r="F13" s="5">
        <f t="shared" si="0"/>
        <v>1</v>
      </c>
      <c r="G13" s="4" t="s">
        <v>58</v>
      </c>
      <c r="H13" s="4" t="s">
        <v>59</v>
      </c>
      <c r="I13" s="4" t="s">
        <v>60</v>
      </c>
      <c r="J13" s="20" t="s">
        <v>107</v>
      </c>
    </row>
    <row r="14" spans="1:10" ht="39.6" x14ac:dyDescent="0.25">
      <c r="A14" s="3">
        <v>6</v>
      </c>
      <c r="B14" s="4" t="s">
        <v>14</v>
      </c>
      <c r="C14" s="4" t="s">
        <v>37</v>
      </c>
      <c r="D14" s="5">
        <v>0.2</v>
      </c>
      <c r="E14" s="5">
        <v>5</v>
      </c>
      <c r="F14" s="5">
        <f t="shared" si="0"/>
        <v>1</v>
      </c>
      <c r="G14" s="4" t="s">
        <v>99</v>
      </c>
      <c r="H14" s="4" t="s">
        <v>100</v>
      </c>
      <c r="I14" s="4" t="s">
        <v>14</v>
      </c>
      <c r="J14" s="20" t="s">
        <v>107</v>
      </c>
    </row>
    <row r="15" spans="1:10" ht="39.6" x14ac:dyDescent="0.25">
      <c r="A15" s="3">
        <v>14</v>
      </c>
      <c r="B15" s="4" t="s">
        <v>21</v>
      </c>
      <c r="C15" s="4" t="s">
        <v>44</v>
      </c>
      <c r="D15" s="5">
        <v>0.3</v>
      </c>
      <c r="E15" s="5">
        <v>3</v>
      </c>
      <c r="F15" s="5">
        <f t="shared" si="0"/>
        <v>0.89999999999999991</v>
      </c>
      <c r="G15" s="4" t="s">
        <v>79</v>
      </c>
      <c r="H15" s="4" t="s">
        <v>79</v>
      </c>
      <c r="I15" s="4" t="s">
        <v>80</v>
      </c>
      <c r="J15" s="20" t="s">
        <v>106</v>
      </c>
    </row>
    <row r="16" spans="1:10" ht="52.8" x14ac:dyDescent="0.25">
      <c r="A16" s="3">
        <v>5</v>
      </c>
      <c r="B16" s="4" t="s">
        <v>13</v>
      </c>
      <c r="C16" s="4" t="s">
        <v>36</v>
      </c>
      <c r="D16" s="5">
        <v>0.2</v>
      </c>
      <c r="E16" s="5">
        <v>4</v>
      </c>
      <c r="F16" s="5">
        <f t="shared" si="0"/>
        <v>0.8</v>
      </c>
      <c r="G16" s="4" t="s">
        <v>102</v>
      </c>
      <c r="H16" s="4" t="s">
        <v>103</v>
      </c>
      <c r="I16" s="4" t="s">
        <v>104</v>
      </c>
      <c r="J16" s="20" t="s">
        <v>107</v>
      </c>
    </row>
    <row r="17" spans="1:10" ht="39.6" x14ac:dyDescent="0.25">
      <c r="A17" s="3">
        <v>12</v>
      </c>
      <c r="B17" s="4" t="s">
        <v>18</v>
      </c>
      <c r="C17" s="4" t="s">
        <v>42</v>
      </c>
      <c r="D17" s="5">
        <v>0.3</v>
      </c>
      <c r="E17" s="5">
        <v>2</v>
      </c>
      <c r="F17" s="5">
        <f t="shared" si="0"/>
        <v>0.6</v>
      </c>
      <c r="G17" s="4" t="s">
        <v>85</v>
      </c>
      <c r="H17" s="4" t="s">
        <v>84</v>
      </c>
      <c r="I17" s="4" t="s">
        <v>83</v>
      </c>
      <c r="J17" s="20" t="s">
        <v>109</v>
      </c>
    </row>
    <row r="18" spans="1:10" ht="66" x14ac:dyDescent="0.25">
      <c r="A18" s="3">
        <v>20</v>
      </c>
      <c r="B18" s="4" t="s">
        <v>26</v>
      </c>
      <c r="C18" s="4" t="s">
        <v>50</v>
      </c>
      <c r="D18" s="5">
        <v>0.1</v>
      </c>
      <c r="E18" s="5">
        <v>5</v>
      </c>
      <c r="F18" s="5">
        <f t="shared" si="0"/>
        <v>0.5</v>
      </c>
      <c r="G18" s="6" t="s">
        <v>65</v>
      </c>
      <c r="H18" s="4" t="s">
        <v>64</v>
      </c>
      <c r="I18" s="4" t="s">
        <v>63</v>
      </c>
      <c r="J18" s="20" t="s">
        <v>105</v>
      </c>
    </row>
    <row r="19" spans="1:10" ht="39.6" x14ac:dyDescent="0.25">
      <c r="A19" s="3">
        <v>1</v>
      </c>
      <c r="B19" s="4" t="s">
        <v>10</v>
      </c>
      <c r="C19" s="4" t="s">
        <v>51</v>
      </c>
      <c r="D19" s="5">
        <v>0.1</v>
      </c>
      <c r="E19" s="5">
        <v>4.5</v>
      </c>
      <c r="F19" s="5">
        <f t="shared" si="0"/>
        <v>0.45</v>
      </c>
      <c r="G19" s="4" t="s">
        <v>52</v>
      </c>
      <c r="H19" s="4" t="s">
        <v>53</v>
      </c>
      <c r="I19" s="4" t="s">
        <v>54</v>
      </c>
      <c r="J19" s="20" t="s">
        <v>105</v>
      </c>
    </row>
    <row r="20" spans="1:10" ht="26.4" x14ac:dyDescent="0.25">
      <c r="A20" s="3">
        <v>4</v>
      </c>
      <c r="B20" s="4" t="s">
        <v>12</v>
      </c>
      <c r="C20" s="4" t="s">
        <v>35</v>
      </c>
      <c r="D20" s="5">
        <v>0.1</v>
      </c>
      <c r="E20" s="5">
        <v>4</v>
      </c>
      <c r="F20" s="5">
        <f t="shared" si="0"/>
        <v>0.4</v>
      </c>
      <c r="G20" s="4" t="s">
        <v>61</v>
      </c>
      <c r="H20" s="4" t="s">
        <v>62</v>
      </c>
      <c r="I20" s="4" t="s">
        <v>35</v>
      </c>
      <c r="J20" s="20" t="s">
        <v>109</v>
      </c>
    </row>
    <row r="21" spans="1:10" ht="39.6" x14ac:dyDescent="0.25">
      <c r="A21" s="3">
        <v>7</v>
      </c>
      <c r="B21" s="20" t="s">
        <v>112</v>
      </c>
      <c r="C21" s="4" t="s">
        <v>36</v>
      </c>
      <c r="D21" s="5">
        <v>0.1</v>
      </c>
      <c r="E21" s="5">
        <v>4</v>
      </c>
      <c r="F21" s="5">
        <f t="shared" si="0"/>
        <v>0.4</v>
      </c>
      <c r="G21" s="4" t="s">
        <v>99</v>
      </c>
      <c r="H21" s="4" t="s">
        <v>100</v>
      </c>
      <c r="I21" s="4" t="s">
        <v>101</v>
      </c>
      <c r="J21" s="20" t="s">
        <v>107</v>
      </c>
    </row>
    <row r="26" spans="1:10" ht="15.75" customHeight="1" x14ac:dyDescent="0.3">
      <c r="A26" s="1"/>
    </row>
  </sheetData>
  <sortState xmlns:xlrd2="http://schemas.microsoft.com/office/spreadsheetml/2017/richdata2" ref="A2:J21">
    <sortCondition descending="1" ref="F2:F21"/>
  </sortState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809" yWindow="596" count="1">
        <x14:dataValidation type="list" allowBlank="1" showInputMessage="1" prompt="Оберіть зі спику члена команди" xr:uid="{00000000-0002-0000-0000-000000000000}">
          <x14:formula1>
            <xm:f>Люди!$A$1:$A$6</xm:f>
          </x14:formula1>
          <xm:sqref>J2:J21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workbookViewId="0">
      <selection activeCell="B5" sqref="B5"/>
    </sheetView>
  </sheetViews>
  <sheetFormatPr defaultColWidth="12.5546875" defaultRowHeight="15.75" customHeight="1" x14ac:dyDescent="0.25"/>
  <cols>
    <col min="1" max="1" width="35" customWidth="1"/>
    <col min="2" max="2" width="24.6640625" customWidth="1"/>
  </cols>
  <sheetData>
    <row r="1" spans="1:2" ht="28.2" customHeight="1" x14ac:dyDescent="0.25">
      <c r="A1" s="10" t="s">
        <v>19</v>
      </c>
      <c r="B1" s="15" t="s">
        <v>105</v>
      </c>
    </row>
    <row r="2" spans="1:2" ht="28.2" customHeight="1" x14ac:dyDescent="0.35">
      <c r="A2" s="11" t="s">
        <v>29</v>
      </c>
      <c r="B2" s="16" t="s">
        <v>106</v>
      </c>
    </row>
    <row r="3" spans="1:2" ht="28.2" customHeight="1" x14ac:dyDescent="0.25">
      <c r="A3" s="11" t="s">
        <v>30</v>
      </c>
      <c r="B3" s="15" t="s">
        <v>107</v>
      </c>
    </row>
    <row r="4" spans="1:2" ht="28.2" customHeight="1" x14ac:dyDescent="0.25">
      <c r="A4" s="12" t="s">
        <v>31</v>
      </c>
      <c r="B4" s="15" t="s">
        <v>108</v>
      </c>
    </row>
    <row r="5" spans="1:2" ht="28.2" customHeight="1" x14ac:dyDescent="0.35">
      <c r="A5" s="13" t="s">
        <v>27</v>
      </c>
      <c r="B5" s="16" t="s">
        <v>109</v>
      </c>
    </row>
    <row r="6" spans="1:2" ht="28.2" customHeight="1" x14ac:dyDescent="0.25">
      <c r="A6" s="14" t="s">
        <v>28</v>
      </c>
      <c r="B6" s="15" t="s">
        <v>110</v>
      </c>
    </row>
    <row r="7" spans="1:2" ht="15.75" customHeight="1" x14ac:dyDescent="0.25">
      <c r="A7" s="18"/>
      <c r="B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Ризики</vt:lpstr>
      <vt:lpstr>Люди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Єдалов</dc:creator>
  <cp:lastModifiedBy>Владислава Гунченко</cp:lastModifiedBy>
  <dcterms:created xsi:type="dcterms:W3CDTF">2026-04-01T17:57:32Z</dcterms:created>
  <dcterms:modified xsi:type="dcterms:W3CDTF">2026-04-03T14:30:18Z</dcterms:modified>
</cp:coreProperties>
</file>